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22296" windowHeight="11400"/>
  </bookViews>
  <sheets>
    <sheet name="Расчет зарплаты" sheetId="1" r:id="rId1"/>
    <sheet name="Товары" sheetId="2" r:id="rId2"/>
  </sheets>
  <calcPr calcId="162913"/>
</workbook>
</file>

<file path=xl/calcChain.xml><?xml version="1.0" encoding="utf-8"?>
<calcChain xmlns="http://schemas.openxmlformats.org/spreadsheetml/2006/main">
  <c r="E5" i="2" l="1"/>
  <c r="G5" i="2" s="1"/>
  <c r="E4" i="2"/>
  <c r="G4" i="2" s="1"/>
  <c r="E3" i="2"/>
  <c r="G3" i="2" s="1"/>
  <c r="G2" i="2"/>
  <c r="E2" i="2"/>
  <c r="F2" i="2" s="1"/>
  <c r="B7" i="1"/>
  <c r="D6" i="1"/>
  <c r="D5" i="1"/>
  <c r="D4" i="1"/>
  <c r="E4" i="1" s="1"/>
  <c r="F4" i="1" s="1"/>
  <c r="D3" i="1"/>
  <c r="E3" i="1" s="1"/>
  <c r="K2" i="1"/>
  <c r="J2" i="1"/>
  <c r="D2" i="1"/>
  <c r="D7" i="1" s="1"/>
  <c r="E5" i="1" l="1"/>
  <c r="F5" i="1" s="1"/>
  <c r="F3" i="2"/>
  <c r="F7" i="2" s="1"/>
  <c r="F3" i="1"/>
  <c r="E6" i="1"/>
  <c r="F6" i="1" s="1"/>
  <c r="F4" i="2"/>
  <c r="E2" i="1"/>
  <c r="E7" i="1" s="1"/>
  <c r="F2" i="1"/>
  <c r="F5" i="2"/>
  <c r="F7" i="1" l="1"/>
  <c r="B9" i="1"/>
  <c r="B10" i="1"/>
  <c r="B11" i="1"/>
</calcChain>
</file>

<file path=xl/sharedStrings.xml><?xml version="1.0" encoding="utf-8"?>
<sst xmlns="http://schemas.openxmlformats.org/spreadsheetml/2006/main" count="31" uniqueCount="30">
  <si>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</si>
  <si>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</si>
  <si>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</si>
  <si>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</si>
  <si>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</si>
  <si>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</si>
  <si>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№ п/п</t>
  </si>
  <si>
    <t>Ставка НДФЛ:</t>
  </si>
  <si>
    <t>Коэффициент:</t>
  </si>
  <si>
    <t>Иванов И.И.</t>
  </si>
  <si>
    <t>Петров П.П.</t>
  </si>
  <si>
    <t>Сидоров С.С.</t>
  </si>
  <si>
    <t>Кузнецова К.К.</t>
  </si>
  <si>
    <t>Смирнов С.С.</t>
  </si>
  <si>
    <t>ИТОГО:</t>
  </si>
  <si>
    <t>Средняя зарплата:</t>
  </si>
  <si>
    <t>Максимум:</t>
  </si>
  <si>
    <t>Минимум:</t>
  </si>
  <si>
    <t>Товар</t>
  </si>
  <si>
    <t>Цена за ед.</t>
  </si>
  <si>
    <t>Кол-во</t>
  </si>
  <si>
    <t>Скидка %</t>
  </si>
  <si>
    <t>Стоимость</t>
  </si>
  <si>
    <t>Итого со скидкой</t>
  </si>
  <si>
    <t>НДС</t>
  </si>
  <si>
    <t>Ставка НДС:</t>
  </si>
  <si>
    <t>Ноутбук</t>
  </si>
  <si>
    <t>Монитор</t>
  </si>
  <si>
    <t>Клавиатура</t>
  </si>
  <si>
    <t>Мышь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</si>
</sst>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9" fontId="0" fillId="3" borderId="0" xfId="0" applyNumberFormat="1" applyFill="1"/>
    <xf numFmtId="0" fontId="2" fillId="0" borderId="0" xfId="0" applyFont="1"/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/>
  </sheetViews>
  <sheetFormatPr defaultRowHeight="14.4" x14ac:dyDescent="0.3"/>
  <cols>
    <col min="1" max="1" width="22" customWidth="1"/>
    <col min="2" max="2" width="16" customWidth="1"/>
    <col min="3" max="3" width="14" customWidth="1"/>
    <col min="4" max="6" width="17" customWidth="1"/>
    <col min="7" max="7" width="9" customWidth="1"/>
    <col min="8" max="8" width="17" customWidth="1"/>
    <col min="9" max="11" width="16" customWidth="1"/>
  </cols>
  <sheetData>
    <row r="1" spans="1:11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11" ht="22.05" customHeight="1" x14ac:dyDescent="0.3">
      <c r="A2" t="s">
        <v>9</v>
      </c>
      <c r="B2" s="2">
        <v>50000</v>
      </c>
      <c r="C2">
        <v>20</v>
      </c>
      <c r="D2" s="2">
        <f>B2*C2/100</f>
        <v>10000</v>
      </c>
      <c r="E2" s="2">
        <f>(B2+D2)*$H$2</f>
        <v>9000</v>
      </c>
      <c r="F2" s="2">
        <f>B2+D2-E2</f>
        <v>51000</v>
      </c>
      <c r="G2">
        <v>1</v>
      </c>
      <c r="H2" s="3">
        <v>0.15</v>
      </c>
      <c r="I2">
        <v>1.5</v>
      </c>
      <c r="J2">
        <f>B2*$I$2</f>
        <v>75000</v>
      </c>
      <c r="K2">
        <f>B2*I$2</f>
        <v>75000</v>
      </c>
    </row>
    <row r="3" spans="1:11" ht="22.05" customHeight="1" x14ac:dyDescent="0.3">
      <c r="A3" t="s">
        <v>10</v>
      </c>
      <c r="B3" s="2">
        <v>45000</v>
      </c>
      <c r="C3">
        <v>15</v>
      </c>
      <c r="D3" s="2">
        <f>B3*C3/100</f>
        <v>6750</v>
      </c>
      <c r="E3" s="2">
        <f>(B3+D3)*$H$2</f>
        <v>7762.5</v>
      </c>
      <c r="F3" s="2">
        <f>B3+D3-E3</f>
        <v>43987.5</v>
      </c>
      <c r="G3">
        <v>2</v>
      </c>
    </row>
    <row r="4" spans="1:11" ht="22.05" customHeight="1" x14ac:dyDescent="0.3">
      <c r="A4" t="s">
        <v>11</v>
      </c>
      <c r="B4" s="2">
        <v>62000</v>
      </c>
      <c r="C4">
        <v>25</v>
      </c>
      <c r="D4" s="2">
        <f>B4*C4/100</f>
        <v>15500</v>
      </c>
      <c r="E4" s="2">
        <f>(B4+D4)*$H$2</f>
        <v>11625</v>
      </c>
      <c r="F4" s="2">
        <f>B4+D4-E4</f>
        <v>65875</v>
      </c>
      <c r="G4">
        <v>3</v>
      </c>
    </row>
    <row r="5" spans="1:11" ht="22.05" customHeight="1" x14ac:dyDescent="0.3">
      <c r="A5" t="s">
        <v>12</v>
      </c>
      <c r="B5" s="2">
        <v>55000</v>
      </c>
      <c r="C5">
        <v>10</v>
      </c>
      <c r="D5" s="2">
        <f>B5*C5/100</f>
        <v>5500</v>
      </c>
      <c r="E5" s="2">
        <f>(B5+D5)*$H$2</f>
        <v>9075</v>
      </c>
      <c r="F5" s="2">
        <f>B5+D5-E5</f>
        <v>51425</v>
      </c>
      <c r="G5">
        <v>4</v>
      </c>
    </row>
    <row r="6" spans="1:11" ht="22.05" customHeight="1" x14ac:dyDescent="0.3">
      <c r="A6" t="s">
        <v>13</v>
      </c>
      <c r="B6" s="2">
        <v>40000</v>
      </c>
      <c r="C6">
        <v>30</v>
      </c>
      <c r="D6" s="2">
        <f>B6*C6/100</f>
        <v>12000</v>
      </c>
      <c r="E6" s="2">
        <f>(B6+D6)*$H$2</f>
        <v>7800</v>
      </c>
      <c r="F6" s="2">
        <f>B6+D6-E6</f>
        <v>44200</v>
      </c>
      <c r="G6">
        <v>5</v>
      </c>
    </row>
    <row r="7" spans="1:11" ht="22.05" customHeight="1" x14ac:dyDescent="0.3">
      <c r="A7" s="4" t="s">
        <v>14</v>
      </c>
      <c r="B7" s="2">
        <f>SUM(B2:B6)</f>
        <v>252000</v>
      </c>
      <c r="D7" s="2">
        <f>SUM(D2:D6)</f>
        <v>49750</v>
      </c>
      <c r="E7" s="2">
        <f>SUM(E2:E6)</f>
        <v>45262.5</v>
      </c>
      <c r="F7" s="2">
        <f>SUM(F2:F6)</f>
        <v>256487.5</v>
      </c>
    </row>
    <row r="8" spans="1:11" ht="22.05" customHeight="1" x14ac:dyDescent="0.3"/>
    <row r="9" spans="1:11" ht="22.05" customHeight="1" x14ac:dyDescent="0.3">
      <c r="A9" t="s">
        <v>15</v>
      </c>
      <c r="B9" s="2">
        <f>AVERAGE(F2:F6)</f>
        <v>51297.5</v>
      </c>
    </row>
    <row r="10" spans="1:11" ht="22.05" customHeight="1" x14ac:dyDescent="0.3">
      <c r="A10" t="s">
        <v>16</v>
      </c>
      <c r="B10" s="2">
        <f>MAX(F2:F6)</f>
        <v>65875</v>
      </c>
    </row>
    <row r="11" spans="1:11" ht="22.05" customHeight="1" x14ac:dyDescent="0.3">
      <c r="A11" t="s">
        <v>17</v>
      </c>
      <c r="B11" s="2">
        <f>MIN(F2:F6)</f>
        <v>43987.5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4.4" x14ac:dyDescent="0.3"/>
  <cols>
    <col min="1" max="1" width="18" customWidth="1"/>
    <col min="2" max="2" width="16" customWidth="1"/>
    <col min="3" max="3" width="10" customWidth="1"/>
    <col min="4" max="4" width="13" customWidth="1"/>
    <col min="5" max="5" width="17" customWidth="1"/>
    <col min="6" max="6" width="20" customWidth="1"/>
    <col min="7" max="8" width="15" customWidth="1"/>
  </cols>
  <sheetData>
    <row r="1" spans="1:8" ht="34.049999999999997" customHeight="1" x14ac:dyDescent="0.3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t="s">
        <v>24</v>
      </c>
      <c r="H1" t="s">
        <v>25</v>
      </c>
    </row>
    <row r="2" spans="1:8" x14ac:dyDescent="0.3">
      <c r="A2" t="s">
        <v>26</v>
      </c>
      <c r="B2" s="2">
        <v>45000</v>
      </c>
      <c r="C2">
        <v>5</v>
      </c>
      <c r="D2">
        <v>5</v>
      </c>
      <c r="E2" s="2">
        <f>B2*C2</f>
        <v>225000</v>
      </c>
      <c r="F2" s="2">
        <f>E2*(1-D2/100)</f>
        <v>213750</v>
      </c>
      <c r="G2" s="2">
        <f>E2*$H$2</f>
        <v>45000</v>
      </c>
      <c r="H2" s="3">
        <v>0.2</v>
      </c>
    </row>
    <row r="3" spans="1:8" x14ac:dyDescent="0.3">
      <c r="A3" t="s">
        <v>27</v>
      </c>
      <c r="B3" s="2">
        <v>18000</v>
      </c>
      <c r="C3">
        <v>3</v>
      </c>
      <c r="D3">
        <v>10</v>
      </c>
      <c r="E3" s="2">
        <f>B3*C3</f>
        <v>54000</v>
      </c>
      <c r="F3" s="2">
        <f>E3*(1-D3/100)</f>
        <v>48600</v>
      </c>
      <c r="G3" s="2">
        <f>E3*$H$2</f>
        <v>10800</v>
      </c>
    </row>
    <row r="4" spans="1:8" x14ac:dyDescent="0.3">
      <c r="A4" t="s">
        <v>28</v>
      </c>
      <c r="B4" s="2">
        <v>1500</v>
      </c>
      <c r="C4">
        <v>10</v>
      </c>
      <c r="D4">
        <v>25</v>
      </c>
      <c r="E4" s="2">
        <f>B4*C4</f>
        <v>15000</v>
      </c>
      <c r="F4" s="2">
        <f>E4*(1-D4/100)</f>
        <v>11250</v>
      </c>
      <c r="G4" s="2">
        <f>E4*$H$2</f>
        <v>3000</v>
      </c>
    </row>
    <row r="5" spans="1:8" x14ac:dyDescent="0.3">
      <c r="A5" t="s">
        <v>29</v>
      </c>
      <c r="B5" s="2">
        <v>800</v>
      </c>
      <c r="C5">
        <v>7</v>
      </c>
      <c r="D5">
        <v>30</v>
      </c>
      <c r="E5" s="2">
        <f>B5*C5</f>
        <v>5600</v>
      </c>
      <c r="F5" s="2">
        <f>E5*(1-D5/100)</f>
        <v>3919.9999999999995</v>
      </c>
      <c r="G5" s="2">
        <f>E5*$H$2</f>
        <v>1120</v>
      </c>
    </row>
    <row r="7" spans="1:8" x14ac:dyDescent="0.3">
      <c r="A7" s="4" t="s">
        <v>14</v>
      </c>
      <c r="F7">
        <f>SUM(F2:F5)</f>
        <v>277520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Расчет зарплаты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2026-09-29T08:19:06Z</dcterms:created>
  <dcterms:modified xsi:type="dcterms:W3CDTF">2026-09-29T08:23:46Z</dcterms:modified>
</cp:coreProperties>
</file>