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" sheetId="1" state="visible" r:id="rId1"/>
    <sheet xmlns:r="http://schemas.openxmlformats.org/officeDocument/2006/relationships" name="Продаж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9" customWidth="1" min="4" max="4"/>
    <col width="17" customWidth="1" min="5" max="5"/>
    <col width="15" customWidth="1" min="6" max="6"/>
    <col width="19" customWidth="1" min="7" max="7"/>
    <col width="28" customWidth="1" min="8" max="8"/>
    <col width="25" customWidth="1" min="9" max="9"/>
    <col width="10" customWidth="1" min="10" max="10"/>
    <col width="12" customWidth="1" min="11" max="11"/>
    <col width="20" customWidth="1" min="12" max="12"/>
  </cols>
  <sheetData>
    <row r="1" ht="30" customHeight="1">
      <c r="A1" s="1" t="inlineStr">
        <is>
          <t>№</t>
        </is>
      </c>
      <c r="B1" s="1" t="inlineStr">
        <is>
          <t>ФИО студента</t>
        </is>
      </c>
      <c r="C1" s="1" t="inlineStr">
        <is>
          <t>Балл 1 (тест)</t>
        </is>
      </c>
      <c r="D1" s="1" t="inlineStr">
        <is>
          <t>Балл 2 (практика)</t>
        </is>
      </c>
      <c r="E1" s="1" t="inlineStr">
        <is>
          <t>Балл 3 (проект)</t>
        </is>
      </c>
      <c r="F1" s="1" t="inlineStr">
        <is>
          <t>Сумма баллов</t>
        </is>
      </c>
      <c r="G1" s="1" t="inlineStr">
        <is>
          <t>Средний балл</t>
        </is>
      </c>
      <c r="H1" s="1" t="inlineStr">
        <is>
          <t>Оценка</t>
        </is>
      </c>
      <c r="I1" s="1" t="inlineStr">
        <is>
          <t>Ранг</t>
        </is>
      </c>
      <c r="J1" s="1" t="n"/>
      <c r="K1" s="1" t="inlineStr">
        <is>
          <t>Статистика</t>
        </is>
      </c>
      <c r="L1" s="1" t="n"/>
    </row>
    <row r="2">
      <c r="A2" s="2" t="n">
        <v>1</v>
      </c>
      <c r="B2" s="2" t="inlineStr">
        <is>
          <t>Иванов И.И.</t>
        </is>
      </c>
      <c r="C2" s="3" t="n">
        <v>85</v>
      </c>
      <c r="D2" s="3" t="n">
        <v>78</v>
      </c>
      <c r="E2" s="3" t="n">
        <v>92</v>
      </c>
      <c r="F2" s="2">
        <f>SUM(C2:E2)</f>
        <v/>
      </c>
      <c r="G2" s="4">
        <f>AVERAGE(C2:E2)</f>
        <v/>
      </c>
      <c r="H2" s="2">
        <f>IF(G2&gt;=90,5,IF(G2&gt;=75,4,IF(G2&gt;=60,3,2)))</f>
        <v/>
      </c>
      <c r="I2" s="2">
        <f>RANK(F2,$F$2:$F$16,0)</f>
        <v/>
      </c>
      <c r="J2" s="2" t="n"/>
      <c r="K2" s="2" t="inlineStr">
        <is>
          <t>Сумма</t>
        </is>
      </c>
      <c r="L2" s="2">
        <f>SUM(F2:F16)</f>
        <v/>
      </c>
    </row>
    <row r="3">
      <c r="A3" s="2" t="n">
        <v>2</v>
      </c>
      <c r="B3" s="2" t="inlineStr">
        <is>
          <t>Петров П.П.</t>
        </is>
      </c>
      <c r="C3" s="3" t="n">
        <v>72</v>
      </c>
      <c r="D3" s="3" t="n">
        <v>65</v>
      </c>
      <c r="E3" s="3" t="n">
        <v>80</v>
      </c>
      <c r="F3" s="2">
        <f>SUM(C3:E3)</f>
        <v/>
      </c>
      <c r="G3" s="4">
        <f>AVERAGE(C3:E3)</f>
        <v/>
      </c>
      <c r="H3" s="2">
        <f>IF(G3&gt;=90,5,IF(G3&gt;=75,4,IF(G3&gt;=60,3,2)))</f>
        <v/>
      </c>
      <c r="I3" s="2">
        <f>RANK(F3,$F$2:$F$16,0)</f>
        <v/>
      </c>
      <c r="J3" s="2" t="n"/>
      <c r="K3" s="2" t="inlineStr">
        <is>
          <t>Среднее</t>
        </is>
      </c>
      <c r="L3" s="2">
        <f>AVERAGE(F2:F16)</f>
        <v/>
      </c>
    </row>
    <row r="4">
      <c r="A4" s="2" t="n">
        <v>3</v>
      </c>
      <c r="B4" s="2" t="inlineStr">
        <is>
          <t>Сидорова С.С.</t>
        </is>
      </c>
      <c r="C4" s="3" t="n">
        <v>95</v>
      </c>
      <c r="D4" s="3" t="n">
        <v>88</v>
      </c>
      <c r="E4" s="3" t="n">
        <v>98</v>
      </c>
      <c r="F4" s="2">
        <f>SUM(C4:E4)</f>
        <v/>
      </c>
      <c r="G4" s="4">
        <f>AVERAGE(C4:E4)</f>
        <v/>
      </c>
      <c r="H4" s="2">
        <f>IF(G4&gt;=90,5,IF(G4&gt;=75,4,IF(G4&gt;=60,3,2)))</f>
        <v/>
      </c>
      <c r="I4" s="2">
        <f>RANK(F4,$F$2:$F$16,0)</f>
        <v/>
      </c>
      <c r="J4" s="2" t="n"/>
      <c r="K4" s="2" t="inlineStr">
        <is>
          <t>Медиана</t>
        </is>
      </c>
      <c r="L4" s="2">
        <f>MEDIAN(F2:F16)</f>
        <v/>
      </c>
    </row>
    <row r="5">
      <c r="A5" s="2" t="n">
        <v>4</v>
      </c>
      <c r="B5" s="2" t="inlineStr">
        <is>
          <t>Кузнецов К.К.</t>
        </is>
      </c>
      <c r="C5" s="3" t="n">
        <v>65</v>
      </c>
      <c r="D5" s="3" t="n">
        <v>55</v>
      </c>
      <c r="E5" s="3" t="n">
        <v>70</v>
      </c>
      <c r="F5" s="2">
        <f>SUM(C5:E5)</f>
        <v/>
      </c>
      <c r="G5" s="4">
        <f>AVERAGE(C5:E5)</f>
        <v/>
      </c>
      <c r="H5" s="2">
        <f>IF(G5&gt;=90,5,IF(G5&gt;=75,4,IF(G5&gt;=60,3,2)))</f>
        <v/>
      </c>
      <c r="I5" s="2">
        <f>RANK(F5,$F$2:$F$16,0)</f>
        <v/>
      </c>
      <c r="J5" s="2" t="n"/>
      <c r="K5" s="2" t="inlineStr">
        <is>
          <t>Мода</t>
        </is>
      </c>
      <c r="L5" s="2">
        <f>MODE.SNGL(F2:F16)</f>
        <v/>
      </c>
    </row>
    <row r="6">
      <c r="A6" s="2" t="n">
        <v>5</v>
      </c>
      <c r="B6" s="2" t="inlineStr">
        <is>
          <t>Смирнова С.С.</t>
        </is>
      </c>
      <c r="C6" s="3" t="n">
        <v>78</v>
      </c>
      <c r="D6" s="3" t="n">
        <v>82</v>
      </c>
      <c r="E6" s="3" t="n">
        <v>85</v>
      </c>
      <c r="F6" s="2">
        <f>SUM(C6:E6)</f>
        <v/>
      </c>
      <c r="G6" s="4">
        <f>AVERAGE(C6:E6)</f>
        <v/>
      </c>
      <c r="H6" s="2">
        <f>IF(G6&gt;=90,5,IF(G6&gt;=75,4,IF(G6&gt;=60,3,2)))</f>
        <v/>
      </c>
      <c r="I6" s="2">
        <f>RANK(F6,$F$2:$F$16,0)</f>
        <v/>
      </c>
      <c r="J6" s="2" t="n"/>
      <c r="K6" s="2" t="inlineStr">
        <is>
          <t>Минимум</t>
        </is>
      </c>
      <c r="L6" s="2">
        <f>MIN(F2:F16)</f>
        <v/>
      </c>
    </row>
    <row r="7">
      <c r="A7" s="2" t="n">
        <v>6</v>
      </c>
      <c r="B7" s="2" t="inlineStr">
        <is>
          <t>Волков В.В.</t>
        </is>
      </c>
      <c r="C7" s="3" t="n">
        <v>88</v>
      </c>
      <c r="D7" s="3" t="n">
        <v>90</v>
      </c>
      <c r="E7" s="3" t="n">
        <v>95</v>
      </c>
      <c r="F7" s="2">
        <f>SUM(C7:E7)</f>
        <v/>
      </c>
      <c r="G7" s="4">
        <f>AVERAGE(C7:E7)</f>
        <v/>
      </c>
      <c r="H7" s="2">
        <f>IF(G7&gt;=90,5,IF(G7&gt;=75,4,IF(G7&gt;=60,3,2)))</f>
        <v/>
      </c>
      <c r="I7" s="2">
        <f>RANK(F7,$F$2:$F$16,0)</f>
        <v/>
      </c>
      <c r="J7" s="2" t="n"/>
      <c r="K7" s="2" t="inlineStr">
        <is>
          <t>Максимум</t>
        </is>
      </c>
      <c r="L7" s="2">
        <f>MAX(F2:F16)</f>
        <v/>
      </c>
    </row>
    <row r="8">
      <c r="A8" s="2" t="n">
        <v>7</v>
      </c>
      <c r="B8" s="2" t="inlineStr">
        <is>
          <t>Морозова М.М.</t>
        </is>
      </c>
      <c r="C8" s="3" t="n">
        <v>65</v>
      </c>
      <c r="D8" s="3" t="n">
        <v>70</v>
      </c>
      <c r="E8" s="3" t="n">
        <v>68</v>
      </c>
      <c r="F8" s="2">
        <f>SUM(C8:E8)</f>
        <v/>
      </c>
      <c r="G8" s="4">
        <f>AVERAGE(C8:E8)</f>
        <v/>
      </c>
      <c r="H8" s="2">
        <f>IF(G8&gt;=90,5,IF(G8&gt;=75,4,IF(G8&gt;=60,3,2)))</f>
        <v/>
      </c>
      <c r="I8" s="2">
        <f>RANK(F8,$F$2:$F$16,0)</f>
        <v/>
      </c>
      <c r="J8" s="2" t="n"/>
      <c r="K8" s="2" t="n"/>
      <c r="L8" s="2" t="n"/>
    </row>
    <row r="9">
      <c r="A9" s="2" t="n">
        <v>8</v>
      </c>
      <c r="B9" s="2" t="inlineStr">
        <is>
          <t>Новиков Н.Н.</t>
        </is>
      </c>
      <c r="C9" s="3" t="n">
        <v>92</v>
      </c>
      <c r="D9" s="3" t="n">
        <v>85</v>
      </c>
      <c r="E9" s="3" t="n">
        <v>88</v>
      </c>
      <c r="F9" s="2">
        <f>SUM(C9:E9)</f>
        <v/>
      </c>
      <c r="G9" s="4">
        <f>AVERAGE(C9:E9)</f>
        <v/>
      </c>
      <c r="H9" s="2">
        <f>IF(G9&gt;=90,5,IF(G9&gt;=75,4,IF(G9&gt;=60,3,2)))</f>
        <v/>
      </c>
      <c r="I9" s="2">
        <f>RANK(F9,$F$2:$F$16,0)</f>
        <v/>
      </c>
      <c r="J9" s="2" t="n"/>
      <c r="K9" s="2" t="n"/>
      <c r="L9" s="2" t="n"/>
    </row>
    <row r="10">
      <c r="A10" s="2" t="n">
        <v>9</v>
      </c>
      <c r="B10" s="2" t="inlineStr">
        <is>
          <t>Фёдорова Ф.Ф.</t>
        </is>
      </c>
      <c r="C10" s="3" t="n">
        <v>55</v>
      </c>
      <c r="D10" s="3" t="n">
        <v>60</v>
      </c>
      <c r="E10" s="3" t="n">
        <v>58</v>
      </c>
      <c r="F10" s="2">
        <f>SUM(C10:E10)</f>
        <v/>
      </c>
      <c r="G10" s="4">
        <f>AVERAGE(C10:E10)</f>
        <v/>
      </c>
      <c r="H10" s="2">
        <f>IF(G10&gt;=90,5,IF(G10&gt;=75,4,IF(G10&gt;=60,3,2)))</f>
        <v/>
      </c>
      <c r="I10" s="2">
        <f>RANK(F10,$F$2:$F$16,0)</f>
        <v/>
      </c>
      <c r="J10" s="2" t="n"/>
      <c r="K10" s="2" t="n"/>
      <c r="L10" s="2" t="n"/>
    </row>
    <row r="11">
      <c r="A11" s="2" t="n">
        <v>10</v>
      </c>
      <c r="B11" s="2" t="inlineStr">
        <is>
          <t>Егоров Е.Е.</t>
        </is>
      </c>
      <c r="C11" s="3" t="n">
        <v>80</v>
      </c>
      <c r="D11" s="3" t="n">
        <v>75</v>
      </c>
      <c r="E11" s="3" t="n">
        <v>82</v>
      </c>
      <c r="F11" s="2">
        <f>SUM(C11:E11)</f>
        <v/>
      </c>
      <c r="G11" s="4">
        <f>AVERAGE(C11:E11)</f>
        <v/>
      </c>
      <c r="H11" s="2">
        <f>IF(G11&gt;=90,5,IF(G11&gt;=75,4,IF(G11&gt;=60,3,2)))</f>
        <v/>
      </c>
      <c r="I11" s="2">
        <f>RANK(F11,$F$2:$F$16,0)</f>
        <v/>
      </c>
      <c r="J11" s="2" t="n"/>
      <c r="K11" s="2" t="n"/>
      <c r="L11" s="2" t="n"/>
    </row>
    <row r="12">
      <c r="A12" s="2" t="n">
        <v>11</v>
      </c>
      <c r="B12" s="2" t="inlineStr">
        <is>
          <t>Павлова П.П.</t>
        </is>
      </c>
      <c r="C12" s="3" t="n">
        <v>70</v>
      </c>
      <c r="D12" s="3" t="n">
        <v>68</v>
      </c>
      <c r="E12" s="3" t="n">
        <v>72</v>
      </c>
      <c r="F12" s="2">
        <f>SUM(C12:E12)</f>
        <v/>
      </c>
      <c r="G12" s="4">
        <f>AVERAGE(C12:E12)</f>
        <v/>
      </c>
      <c r="H12" s="2">
        <f>IF(G12&gt;=90,5,IF(G12&gt;=75,4,IF(G12&gt;=60,3,2)))</f>
        <v/>
      </c>
      <c r="I12" s="2">
        <f>RANK(F12,$F$2:$F$16,0)</f>
        <v/>
      </c>
      <c r="J12" s="2" t="n"/>
      <c r="K12" s="2" t="n"/>
      <c r="L12" s="2" t="n"/>
    </row>
    <row r="13">
      <c r="A13" s="2" t="n">
        <v>12</v>
      </c>
      <c r="B13" s="2" t="inlineStr">
        <is>
          <t>Соколов С.С.</t>
        </is>
      </c>
      <c r="C13" s="3" t="n">
        <v>90</v>
      </c>
      <c r="D13" s="3" t="n">
        <v>92</v>
      </c>
      <c r="E13" s="3" t="n">
        <v>94</v>
      </c>
      <c r="F13" s="2">
        <f>SUM(C13:E13)</f>
        <v/>
      </c>
      <c r="G13" s="4">
        <f>AVERAGE(C13:E13)</f>
        <v/>
      </c>
      <c r="H13" s="2">
        <f>IF(G13&gt;=90,5,IF(G13&gt;=75,4,IF(G13&gt;=60,3,2)))</f>
        <v/>
      </c>
      <c r="I13" s="2">
        <f>RANK(F13,$F$2:$F$16,0)</f>
        <v/>
      </c>
      <c r="J13" s="2" t="n"/>
      <c r="K13" s="2" t="n"/>
      <c r="L13" s="2" t="n"/>
    </row>
    <row r="14">
      <c r="A14" s="2" t="n">
        <v>13</v>
      </c>
      <c r="B14" s="2" t="inlineStr">
        <is>
          <t>Лебедева Л.Л.</t>
        </is>
      </c>
      <c r="C14" s="3" t="n">
        <v>75</v>
      </c>
      <c r="D14" s="3" t="n">
        <v>78</v>
      </c>
      <c r="E14" s="3" t="n">
        <v>80</v>
      </c>
      <c r="F14" s="2">
        <f>SUM(C14:E14)</f>
        <v/>
      </c>
      <c r="G14" s="4">
        <f>AVERAGE(C14:E14)</f>
        <v/>
      </c>
      <c r="H14" s="2">
        <f>IF(G14&gt;=90,5,IF(G14&gt;=75,4,IF(G14&gt;=60,3,2)))</f>
        <v/>
      </c>
      <c r="I14" s="2">
        <f>RANK(F14,$F$2:$F$16,0)</f>
        <v/>
      </c>
      <c r="J14" s="2" t="n"/>
      <c r="K14" s="2" t="n"/>
      <c r="L14" s="2" t="n"/>
    </row>
    <row r="15">
      <c r="A15" s="2" t="n">
        <v>14</v>
      </c>
      <c r="B15" s="2" t="inlineStr">
        <is>
          <t>Козлов К.К.</t>
        </is>
      </c>
      <c r="C15" s="3" t="n">
        <v>62</v>
      </c>
      <c r="D15" s="3" t="n">
        <v>58</v>
      </c>
      <c r="E15" s="3" t="n">
        <v>65</v>
      </c>
      <c r="F15" s="2">
        <f>SUM(C15:E15)</f>
        <v/>
      </c>
      <c r="G15" s="4">
        <f>AVERAGE(C15:E15)</f>
        <v/>
      </c>
      <c r="H15" s="2">
        <f>IF(G15&gt;=90,5,IF(G15&gt;=75,4,IF(G15&gt;=60,3,2)))</f>
        <v/>
      </c>
      <c r="I15" s="2">
        <f>RANK(F15,$F$2:$F$16,0)</f>
        <v/>
      </c>
      <c r="J15" s="2" t="n"/>
      <c r="K15" s="2" t="n"/>
      <c r="L15" s="2" t="n"/>
    </row>
    <row r="16">
      <c r="A16" s="2" t="n">
        <v>15</v>
      </c>
      <c r="B16" s="2" t="inlineStr">
        <is>
          <t>Степанова С.С.</t>
        </is>
      </c>
      <c r="C16" s="3" t="n">
        <v>98</v>
      </c>
      <c r="D16" s="3" t="n">
        <v>95</v>
      </c>
      <c r="E16" s="3" t="n">
        <v>100</v>
      </c>
      <c r="F16" s="2">
        <f>SUM(C16:E16)</f>
        <v/>
      </c>
      <c r="G16" s="4">
        <f>AVERAGE(C16:E16)</f>
        <v/>
      </c>
      <c r="H16" s="2">
        <f>IF(G16&gt;=90,5,IF(G16&gt;=75,4,IF(G16&gt;=60,3,2)))</f>
        <v/>
      </c>
      <c r="I16" s="2">
        <f>RANK(F16,$F$2:$F$16,0)</f>
        <v/>
      </c>
      <c r="J16" s="2" t="n"/>
      <c r="K16" s="2" t="n"/>
      <c r="L1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5" customWidth="1" min="4" max="4"/>
    <col width="14" customWidth="1" min="5" max="5"/>
    <col width="28" customWidth="1" min="6" max="6"/>
    <col width="12" customWidth="1" min="7" max="7"/>
    <col width="25" customWidth="1" min="8" max="8"/>
    <col width="10" customWidth="1" min="9" max="9"/>
    <col width="28" customWidth="1" min="10" max="10"/>
    <col width="28" customWidth="1" min="11" max="11"/>
  </cols>
  <sheetData>
    <row r="1" ht="30" customHeight="1">
      <c r="A1" s="1" t="inlineStr">
        <is>
          <t>№</t>
        </is>
      </c>
      <c r="B1" s="1" t="inlineStr">
        <is>
          <t>Товар</t>
        </is>
      </c>
      <c r="C1" s="1" t="inlineStr">
        <is>
          <t>Цена (руб.)</t>
        </is>
      </c>
      <c r="D1" s="1" t="inlineStr">
        <is>
          <t>Продано (шт.)</t>
        </is>
      </c>
      <c r="E1" s="1" t="inlineStr">
        <is>
          <t>Выручка</t>
        </is>
      </c>
      <c r="F1" s="1" t="inlineStr">
        <is>
          <t>Категория</t>
        </is>
      </c>
      <c r="G1" s="1" t="inlineStr">
        <is>
          <t>Доля (%)</t>
        </is>
      </c>
      <c r="H1" s="1" t="inlineStr">
        <is>
          <t>Ранг</t>
        </is>
      </c>
      <c r="I1" s="1" t="n"/>
      <c r="J1" s="1" t="inlineStr">
        <is>
          <t>Статистика по выручке</t>
        </is>
      </c>
      <c r="K1" s="1" t="n"/>
    </row>
    <row r="2">
      <c r="A2" s="2" t="n">
        <v>1</v>
      </c>
      <c r="B2" s="2" t="inlineStr">
        <is>
          <t>Ноутбук</t>
        </is>
      </c>
      <c r="C2" s="5" t="n">
        <v>45000</v>
      </c>
      <c r="D2" s="2" t="n">
        <v>12</v>
      </c>
      <c r="E2" s="5">
        <f>C2*D2</f>
        <v/>
      </c>
      <c r="F2" s="2">
        <f>IF(E2&gt;100000,"Топ",IF(E2&gt;50000,"Средний","Низкий"))</f>
        <v/>
      </c>
      <c r="G2" s="6">
        <f>E2/$E$17</f>
        <v/>
      </c>
      <c r="H2" s="2">
        <f>RANK(E2,$E$2:$E$16,0)</f>
        <v/>
      </c>
      <c r="I2" s="2" t="n"/>
      <c r="J2" s="2" t="inlineStr">
        <is>
          <t>Сумма</t>
        </is>
      </c>
      <c r="K2" s="2">
        <f>SUM(E2:E16)</f>
        <v/>
      </c>
    </row>
    <row r="3">
      <c r="A3" s="2" t="n">
        <v>2</v>
      </c>
      <c r="B3" s="2" t="inlineStr">
        <is>
          <t>Монитор</t>
        </is>
      </c>
      <c r="C3" s="5" t="n">
        <v>18000</v>
      </c>
      <c r="D3" s="2" t="n">
        <v>25</v>
      </c>
      <c r="E3" s="5">
        <f>C3*D3</f>
        <v/>
      </c>
      <c r="F3" s="2">
        <f>IF(E3&gt;100000,"Топ",IF(E3&gt;50000,"Средний","Низкий"))</f>
        <v/>
      </c>
      <c r="G3" s="6">
        <f>E3/$E$17</f>
        <v/>
      </c>
      <c r="H3" s="2">
        <f>RANK(E3,$E$2:$E$16,0)</f>
        <v/>
      </c>
      <c r="I3" s="2" t="n"/>
      <c r="J3" s="2" t="inlineStr">
        <is>
          <t>Среднее</t>
        </is>
      </c>
      <c r="K3" s="2">
        <f>AVERAGE(E2:E16)</f>
        <v/>
      </c>
    </row>
    <row r="4">
      <c r="A4" s="2" t="n">
        <v>3</v>
      </c>
      <c r="B4" s="2" t="inlineStr">
        <is>
          <t>Клавиатура</t>
        </is>
      </c>
      <c r="C4" s="5" t="n">
        <v>1500</v>
      </c>
      <c r="D4" s="2" t="n">
        <v>60</v>
      </c>
      <c r="E4" s="5">
        <f>C4*D4</f>
        <v/>
      </c>
      <c r="F4" s="2">
        <f>IF(E4&gt;100000,"Топ",IF(E4&gt;50000,"Средний","Низкий"))</f>
        <v/>
      </c>
      <c r="G4" s="6">
        <f>E4/$E$17</f>
        <v/>
      </c>
      <c r="H4" s="2">
        <f>RANK(E4,$E$2:$E$16,0)</f>
        <v/>
      </c>
      <c r="I4" s="2" t="n"/>
      <c r="J4" s="2" t="inlineStr">
        <is>
          <t>Медиана</t>
        </is>
      </c>
      <c r="K4" s="2">
        <f>MEDIAN(E2:E16)</f>
        <v/>
      </c>
    </row>
    <row r="5">
      <c r="A5" s="2" t="n">
        <v>4</v>
      </c>
      <c r="B5" s="2" t="inlineStr">
        <is>
          <t>Мышь</t>
        </is>
      </c>
      <c r="C5" s="5" t="n">
        <v>800</v>
      </c>
      <c r="D5" s="2" t="n">
        <v>85</v>
      </c>
      <c r="E5" s="5">
        <f>C5*D5</f>
        <v/>
      </c>
      <c r="F5" s="2">
        <f>IF(E5&gt;100000,"Топ",IF(E5&gt;50000,"Средний","Низкий"))</f>
        <v/>
      </c>
      <c r="G5" s="6">
        <f>E5/$E$17</f>
        <v/>
      </c>
      <c r="H5" s="2">
        <f>RANK(E5,$E$2:$E$16,0)</f>
        <v/>
      </c>
      <c r="I5" s="2" t="n"/>
      <c r="J5" s="2" t="inlineStr">
        <is>
          <t>Мода</t>
        </is>
      </c>
      <c r="K5" s="2">
        <f>IFERROR(MODE.SNGL(E2:E16),"нет")</f>
        <v/>
      </c>
    </row>
    <row r="6">
      <c r="A6" s="2" t="n">
        <v>5</v>
      </c>
      <c r="B6" s="2" t="inlineStr">
        <is>
          <t>Принтер</t>
        </is>
      </c>
      <c r="C6" s="5" t="n">
        <v>12000</v>
      </c>
      <c r="D6" s="2" t="n">
        <v>8</v>
      </c>
      <c r="E6" s="5">
        <f>C6*D6</f>
        <v/>
      </c>
      <c r="F6" s="2">
        <f>IF(E6&gt;100000,"Топ",IF(E6&gt;50000,"Средний","Низкий"))</f>
        <v/>
      </c>
      <c r="G6" s="6">
        <f>E6/$E$17</f>
        <v/>
      </c>
      <c r="H6" s="2">
        <f>RANK(E6,$E$2:$E$16,0)</f>
        <v/>
      </c>
      <c r="I6" s="2" t="n"/>
      <c r="J6" s="2" t="inlineStr">
        <is>
          <t>Минимум</t>
        </is>
      </c>
      <c r="K6" s="2">
        <f>MIN(E2:E16)</f>
        <v/>
      </c>
    </row>
    <row r="7">
      <c r="A7" s="2" t="n">
        <v>6</v>
      </c>
      <c r="B7" s="2" t="inlineStr">
        <is>
          <t>Сканер</t>
        </is>
      </c>
      <c r="C7" s="5" t="n">
        <v>9000</v>
      </c>
      <c r="D7" s="2" t="n">
        <v>6</v>
      </c>
      <c r="E7" s="5">
        <f>C7*D7</f>
        <v/>
      </c>
      <c r="F7" s="2">
        <f>IF(E7&gt;100000,"Топ",IF(E7&gt;50000,"Средний","Низкий"))</f>
        <v/>
      </c>
      <c r="G7" s="6">
        <f>E7/$E$17</f>
        <v/>
      </c>
      <c r="H7" s="2">
        <f>RANK(E7,$E$2:$E$16,0)</f>
        <v/>
      </c>
      <c r="I7" s="2" t="n"/>
      <c r="J7" s="2" t="inlineStr">
        <is>
          <t>Максимум</t>
        </is>
      </c>
      <c r="K7" s="2">
        <f>MAX(E2:E16)</f>
        <v/>
      </c>
    </row>
    <row r="8">
      <c r="A8" s="2" t="n">
        <v>7</v>
      </c>
      <c r="B8" s="2" t="inlineStr">
        <is>
          <t>Флешка 32ГБ</t>
        </is>
      </c>
      <c r="C8" s="5" t="n">
        <v>600</v>
      </c>
      <c r="D8" s="2" t="n">
        <v>120</v>
      </c>
      <c r="E8" s="5">
        <f>C8*D8</f>
        <v/>
      </c>
      <c r="F8" s="2">
        <f>IF(E8&gt;100000,"Топ",IF(E8&gt;50000,"Средний","Низкий"))</f>
        <v/>
      </c>
      <c r="G8" s="6">
        <f>E8/$E$17</f>
        <v/>
      </c>
      <c r="H8" s="2">
        <f>RANK(E8,$E$2:$E$16,0)</f>
        <v/>
      </c>
      <c r="I8" s="2" t="n"/>
      <c r="J8" s="2" t="inlineStr">
        <is>
          <t>Стандартное отклонение</t>
        </is>
      </c>
      <c r="K8" s="2">
        <f>STDEV.S(E2:E16)</f>
        <v/>
      </c>
    </row>
    <row r="9">
      <c r="A9" s="2" t="n">
        <v>8</v>
      </c>
      <c r="B9" s="2" t="inlineStr">
        <is>
          <t>Внешний HDD</t>
        </is>
      </c>
      <c r="C9" s="5" t="n">
        <v>5500</v>
      </c>
      <c r="D9" s="2" t="n">
        <v>15</v>
      </c>
      <c r="E9" s="5">
        <f>C9*D9</f>
        <v/>
      </c>
      <c r="F9" s="2">
        <f>IF(E9&gt;100000,"Топ",IF(E9&gt;50000,"Средний","Низкий"))</f>
        <v/>
      </c>
      <c r="G9" s="6">
        <f>E9/$E$17</f>
        <v/>
      </c>
      <c r="H9" s="2">
        <f>RANK(E9,$E$2:$E$16,0)</f>
        <v/>
      </c>
      <c r="I9" s="2" t="n"/>
      <c r="J9" s="2" t="inlineStr">
        <is>
          <t>Дисперсия</t>
        </is>
      </c>
      <c r="K9" s="2">
        <f>VAR.S(E2:E16)</f>
        <v/>
      </c>
    </row>
    <row r="10">
      <c r="A10" s="2" t="n">
        <v>9</v>
      </c>
      <c r="B10" s="2" t="inlineStr">
        <is>
          <t>Веб-камера</t>
        </is>
      </c>
      <c r="C10" s="5" t="n">
        <v>2800</v>
      </c>
      <c r="D10" s="2" t="n">
        <v>22</v>
      </c>
      <c r="E10" s="5">
        <f>C10*D10</f>
        <v/>
      </c>
      <c r="F10" s="2">
        <f>IF(E10&gt;100000,"Топ",IF(E10&gt;50000,"Средний","Низкий"))</f>
        <v/>
      </c>
      <c r="G10" s="6">
        <f>E10/$E$17</f>
        <v/>
      </c>
      <c r="H10" s="2">
        <f>RANK(E10,$E$2:$E$16,0)</f>
        <v/>
      </c>
      <c r="I10" s="2" t="n"/>
      <c r="J10" s="2" t="inlineStr">
        <is>
          <t>Количество «Топ»</t>
        </is>
      </c>
      <c r="K10" s="2">
        <f>COUNTIF(F2:F16,"Топ")</f>
        <v/>
      </c>
    </row>
    <row r="11">
      <c r="A11" s="2" t="n">
        <v>10</v>
      </c>
      <c r="B11" s="2" t="inlineStr">
        <is>
          <t>Наушники</t>
        </is>
      </c>
      <c r="C11" s="5" t="n">
        <v>3200</v>
      </c>
      <c r="D11" s="2" t="n">
        <v>35</v>
      </c>
      <c r="E11" s="5">
        <f>C11*D11</f>
        <v/>
      </c>
      <c r="F11" s="2">
        <f>IF(E11&gt;100000,"Топ",IF(E11&gt;50000,"Средний","Низкий"))</f>
        <v/>
      </c>
      <c r="G11" s="6">
        <f>E11/$E$17</f>
        <v/>
      </c>
      <c r="H11" s="2">
        <f>RANK(E11,$E$2:$E$16,0)</f>
        <v/>
      </c>
      <c r="I11" s="2" t="n"/>
      <c r="J11" s="2" t="inlineStr">
        <is>
          <t>Сумма «Топ»</t>
        </is>
      </c>
      <c r="K11" s="2">
        <f>SUMIF(F2:F16,"Топ",E2:E16)</f>
        <v/>
      </c>
    </row>
    <row r="12">
      <c r="A12" s="2" t="n">
        <v>11</v>
      </c>
      <c r="B12" s="2" t="inlineStr">
        <is>
          <t>Коврик для мыши</t>
        </is>
      </c>
      <c r="C12" s="5" t="n">
        <v>400</v>
      </c>
      <c r="D12" s="2" t="n">
        <v>90</v>
      </c>
      <c r="E12" s="5">
        <f>C12*D12</f>
        <v/>
      </c>
      <c r="F12" s="2">
        <f>IF(E12&gt;100000,"Топ",IF(E12&gt;50000,"Средний","Низкий"))</f>
        <v/>
      </c>
      <c r="G12" s="6">
        <f>E12/$E$17</f>
        <v/>
      </c>
      <c r="H12" s="2">
        <f>RANK(E12,$E$2:$E$16,0)</f>
        <v/>
      </c>
      <c r="I12" s="2" t="n"/>
      <c r="J12" s="2" t="inlineStr">
        <is>
          <t>Среднее «Средний»</t>
        </is>
      </c>
      <c r="K12" s="2">
        <f>AVERAGEIF(F2:F16,"Средний",E2:E16)</f>
        <v/>
      </c>
    </row>
    <row r="13">
      <c r="A13" s="2" t="n">
        <v>12</v>
      </c>
      <c r="B13" s="2" t="inlineStr">
        <is>
          <t>USB-хаб</t>
        </is>
      </c>
      <c r="C13" s="5" t="n">
        <v>1200</v>
      </c>
      <c r="D13" s="2" t="n">
        <v>40</v>
      </c>
      <c r="E13" s="5">
        <f>C13*D13</f>
        <v/>
      </c>
      <c r="F13" s="2">
        <f>IF(E13&gt;100000,"Топ",IF(E13&gt;50000,"Средний","Низкий"))</f>
        <v/>
      </c>
      <c r="G13" s="6">
        <f>E13/$E$17</f>
        <v/>
      </c>
      <c r="H13" s="2">
        <f>RANK(E13,$E$2:$E$16,0)</f>
        <v/>
      </c>
      <c r="I13" s="2" t="n"/>
      <c r="J13" s="2" t="inlineStr">
        <is>
          <t>Корреляция цены и количества</t>
        </is>
      </c>
      <c r="K13" s="2">
        <f>CORREL(C2:C16,D2:D16)</f>
        <v/>
      </c>
    </row>
    <row r="14">
      <c r="A14" s="2" t="n">
        <v>13</v>
      </c>
      <c r="B14" s="2" t="inlineStr">
        <is>
          <t>Картридж</t>
        </is>
      </c>
      <c r="C14" s="5" t="n">
        <v>2500</v>
      </c>
      <c r="D14" s="2" t="n">
        <v>18</v>
      </c>
      <c r="E14" s="5">
        <f>C14*D14</f>
        <v/>
      </c>
      <c r="F14" s="2">
        <f>IF(E14&gt;100000,"Топ",IF(E14&gt;50000,"Средний","Низкий"))</f>
        <v/>
      </c>
      <c r="G14" s="6">
        <f>E14/$E$17</f>
        <v/>
      </c>
      <c r="H14" s="2">
        <f>RANK(E14,$E$2:$E$16,0)</f>
        <v/>
      </c>
      <c r="I14" s="2" t="n"/>
      <c r="J14" s="2" t="n"/>
      <c r="K14" s="2" t="n"/>
    </row>
    <row r="15">
      <c r="A15" s="2" t="n">
        <v>14</v>
      </c>
      <c r="B15" s="2" t="inlineStr">
        <is>
          <t>Бумага А4</t>
        </is>
      </c>
      <c r="C15" s="5" t="n">
        <v>350</v>
      </c>
      <c r="D15" s="2" t="n">
        <v>200</v>
      </c>
      <c r="E15" s="5">
        <f>C15*D15</f>
        <v/>
      </c>
      <c r="F15" s="2">
        <f>IF(E15&gt;100000,"Топ",IF(E15&gt;50000,"Средний","Низкий"))</f>
        <v/>
      </c>
      <c r="G15" s="6">
        <f>E15/$E$17</f>
        <v/>
      </c>
      <c r="H15" s="2">
        <f>RANK(E15,$E$2:$E$16,0)</f>
        <v/>
      </c>
      <c r="I15" s="2" t="n"/>
      <c r="J15" s="2" t="n"/>
      <c r="K15" s="2" t="n"/>
    </row>
    <row r="16">
      <c r="A16" s="2" t="n">
        <v>15</v>
      </c>
      <c r="B16" s="2" t="inlineStr">
        <is>
          <t>Роутер</t>
        </is>
      </c>
      <c r="C16" s="5" t="n">
        <v>4500</v>
      </c>
      <c r="D16" s="2" t="n">
        <v>14</v>
      </c>
      <c r="E16" s="5">
        <f>C16*D16</f>
        <v/>
      </c>
      <c r="F16" s="2">
        <f>IF(E16&gt;100000,"Топ",IF(E16&gt;50000,"Средний","Низкий"))</f>
        <v/>
      </c>
      <c r="G16" s="6">
        <f>E16/$E$17</f>
        <v/>
      </c>
      <c r="H16" s="2">
        <f>RANK(E16,$E$2:$E$16,0)</f>
        <v/>
      </c>
      <c r="I16" s="2" t="n"/>
      <c r="J16" s="2" t="n"/>
      <c r="K16" s="2" t="n"/>
    </row>
    <row r="17">
      <c r="A17" s="2" t="n"/>
      <c r="B17" s="2" t="n"/>
      <c r="C17" s="2" t="n"/>
      <c r="D17" s="2" t="inlineStr">
        <is>
          <t>Итого</t>
        </is>
      </c>
      <c r="E17" s="5">
        <f>SUM(E2:E16)</f>
        <v/>
      </c>
      <c r="F17" s="2" t="n"/>
      <c r="G17" s="2" t="n"/>
      <c r="H17" s="2" t="n"/>
      <c r="I17" s="2" t="n"/>
      <c r="J17" s="2" t="n"/>
      <c r="K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2026-10-06T08:44:15Z</dcterms:created>
  <dcterms:modified xmlns:dcterms="http://purl.org/dc/terms/" xmlns:xsi="http://www.w3.org/2001/XMLSchema-instance" xsi:type="dcterms:W3CDTF">2026-10-06T08:44:15Z</dcterms:modified>
</cp:coreProperties>
</file>