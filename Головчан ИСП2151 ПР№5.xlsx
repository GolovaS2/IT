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ма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 &quot;руб.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9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6" customWidth="1" min="4" max="4"/>
    <col width="16" customWidth="1" min="5" max="5"/>
    <col width="17" customWidth="1" min="6" max="6"/>
    <col width="18" customWidth="1" min="7" max="7"/>
    <col width="14" customWidth="1" min="8" max="8"/>
    <col width="17" customWidth="1" min="9" max="9"/>
    <col width="10" customWidth="1" min="10" max="10"/>
    <col width="14" customWidth="1" min="11" max="11"/>
    <col width="18" customWidth="1" min="20" max="20"/>
    <col width="18" customWidth="1" min="24" max="24"/>
    <col width="12" customWidth="1" min="25" max="25"/>
    <col width="20" customWidth="1" min="26" max="26"/>
    <col width="20" customWidth="1" min="27" max="27"/>
  </cols>
  <sheetData>
    <row r="1" ht="32" customHeight="1">
      <c r="A1" s="1" t="inlineStr">
        <is>
          <t>№ детали</t>
        </is>
      </c>
      <c r="B1" s="1" t="inlineStr">
        <is>
          <t>Радиус R (мм)</t>
        </is>
      </c>
      <c r="C1" s="1" t="inlineStr">
        <is>
          <t>Высота h (мм)</t>
        </is>
      </c>
      <c r="D1" s="1" t="inlineStr">
        <is>
          <t>Масса m (кг)</t>
        </is>
      </c>
      <c r="E1" s="1" t="inlineStr">
        <is>
          <t>Длина L (мм)</t>
        </is>
      </c>
      <c r="F1" s="1" t="inlineStr">
        <is>
          <t>Диаметр (мм)</t>
        </is>
      </c>
      <c r="G1" s="1" t="inlineStr">
        <is>
          <t>№ п/п</t>
        </is>
      </c>
      <c r="H1" s="1" t="inlineStr">
        <is>
          <t>√V</t>
        </is>
      </c>
      <c r="I1" s="1" t="inlineStr">
        <is>
          <t>|m − 3|</t>
        </is>
      </c>
      <c r="J1" t="inlineStr">
        <is>
          <t>№ п/п</t>
        </is>
      </c>
      <c r="K1" s="2" t="n">
        <v>3</v>
      </c>
      <c r="T1" t="n">
        <v>100000</v>
      </c>
      <c r="X1" t="inlineStr">
        <is>
          <t>Длина дуги</t>
        </is>
      </c>
      <c r="Y1" t="n">
        <v>60</v>
      </c>
      <c r="Z1" t="inlineStr">
        <is>
          <t>Дуга через РАДИАНЫ</t>
        </is>
      </c>
      <c r="AA1">
        <f>SUM(D2:D8)</f>
        <v/>
      </c>
    </row>
    <row r="2">
      <c r="A2" s="3" t="n">
        <v>1</v>
      </c>
      <c r="B2" s="4" t="n">
        <v>12.5</v>
      </c>
      <c r="C2" s="4" t="n">
        <v>30</v>
      </c>
      <c r="D2" s="4" t="n">
        <v>2.4</v>
      </c>
      <c r="E2" s="4" t="n">
        <v>145</v>
      </c>
      <c r="F2" s="4">
        <f>2*B2</f>
        <v/>
      </c>
      <c r="G2" s="4">
        <f>PI()*B2^2*C2</f>
        <v/>
      </c>
      <c r="H2" s="4">
        <f>SQRT(G2)</f>
        <v/>
      </c>
      <c r="I2" s="4">
        <f>ABS(D2-$K$1)</f>
        <v/>
      </c>
      <c r="J2" t="n">
        <v>1</v>
      </c>
      <c r="T2" s="5" t="n">
        <v>0.12</v>
      </c>
      <c r="X2">
        <f>PI()*B2*$Y$1/180</f>
        <v/>
      </c>
      <c r="Z2">
        <f>B2*RADIANS($Y$1)</f>
        <v/>
      </c>
      <c r="AA2">
        <f>SUMIF(D2:D8,"&gt;2")</f>
        <v/>
      </c>
    </row>
    <row r="3">
      <c r="A3" s="3" t="n">
        <v>2</v>
      </c>
      <c r="B3" s="4" t="n">
        <v>8.300000000000001</v>
      </c>
      <c r="C3" s="4" t="n">
        <v>25</v>
      </c>
      <c r="D3" s="4" t="n">
        <v>1.1</v>
      </c>
      <c r="E3" s="4" t="n">
        <v>98</v>
      </c>
      <c r="F3" s="4">
        <f>2*B3</f>
        <v/>
      </c>
      <c r="G3" s="4">
        <f>PI()*B3^2*C3</f>
        <v/>
      </c>
      <c r="H3" s="4">
        <f>SQRT(G3)</f>
        <v/>
      </c>
      <c r="I3" s="4">
        <f>ABS(D3-$K$1)</f>
        <v/>
      </c>
      <c r="J3" t="n">
        <v>2</v>
      </c>
      <c r="T3" t="n">
        <v>5</v>
      </c>
      <c r="X3">
        <f>PI()*B3*$Y$1/180</f>
        <v/>
      </c>
      <c r="Z3">
        <f>B3*RADIANS($Y$1)</f>
        <v/>
      </c>
      <c r="AA3">
        <f>SUMPRODUCT(D2:D8,E2:E8)/SUM(E2:E8)</f>
        <v/>
      </c>
    </row>
    <row r="4">
      <c r="A4" s="3" t="n">
        <v>3</v>
      </c>
      <c r="B4" s="4" t="n">
        <v>15.7</v>
      </c>
      <c r="C4" s="4" t="n">
        <v>40</v>
      </c>
      <c r="D4" s="4" t="n">
        <v>4</v>
      </c>
      <c r="E4" s="4" t="n">
        <v>210</v>
      </c>
      <c r="F4" s="4">
        <f>2*B4</f>
        <v/>
      </c>
      <c r="G4" s="4">
        <f>PI()*B4^2*C4</f>
        <v/>
      </c>
      <c r="H4" s="4">
        <f>SQRT(G4)</f>
        <v/>
      </c>
      <c r="I4" s="4">
        <f>ABS(D4-$K$1)</f>
        <v/>
      </c>
      <c r="J4" t="n">
        <v>3</v>
      </c>
      <c r="T4" s="6">
        <f>T1*(1+T2)^T3</f>
        <v/>
      </c>
      <c r="X4">
        <f>PI()*B4*$Y$1/180</f>
        <v/>
      </c>
      <c r="Z4">
        <f>B4*RADIANS($Y$1)</f>
        <v/>
      </c>
      <c r="AA4">
        <f>COUNTIF(D2:D8,"&gt;2")</f>
        <v/>
      </c>
    </row>
    <row r="5">
      <c r="A5" s="3" t="n">
        <v>4</v>
      </c>
      <c r="B5" s="4" t="n">
        <v>6.2</v>
      </c>
      <c r="C5" s="4" t="n">
        <v>18</v>
      </c>
      <c r="D5" s="4" t="n">
        <v>0.7</v>
      </c>
      <c r="E5" s="4" t="n">
        <v>75</v>
      </c>
      <c r="F5" s="4">
        <f>2*B5</f>
        <v/>
      </c>
      <c r="G5" s="4">
        <f>PI()*B5^2*C5</f>
        <v/>
      </c>
      <c r="H5" s="4">
        <f>SQRT(G5)</f>
        <v/>
      </c>
      <c r="I5" s="4">
        <f>ABS(D5-$K$1)</f>
        <v/>
      </c>
      <c r="J5" t="n">
        <v>4</v>
      </c>
      <c r="T5" s="6">
        <f>T1*EXP(T2*T3)</f>
        <v/>
      </c>
      <c r="X5">
        <f>PI()*B5*$Y$1/180</f>
        <v/>
      </c>
      <c r="Z5">
        <f>B5*RADIANS($Y$1)</f>
        <v/>
      </c>
      <c r="AA5">
        <f>AVERAGE(D2:D8)</f>
        <v/>
      </c>
    </row>
    <row r="6">
      <c r="A6" s="3" t="n">
        <v>5</v>
      </c>
      <c r="B6" s="4" t="n">
        <v>20.1</v>
      </c>
      <c r="C6" s="4" t="n">
        <v>55</v>
      </c>
      <c r="D6" s="4" t="n">
        <v>6.5</v>
      </c>
      <c r="E6" s="4" t="n">
        <v>320</v>
      </c>
      <c r="F6" s="4">
        <f>2*B6</f>
        <v/>
      </c>
      <c r="G6" s="4">
        <f>PI()*B6^2*C6</f>
        <v/>
      </c>
      <c r="H6" s="4">
        <f>SQRT(G6)</f>
        <v/>
      </c>
      <c r="I6" s="4">
        <f>ABS(D6-$K$1)</f>
        <v/>
      </c>
      <c r="J6" t="n">
        <v>5</v>
      </c>
      <c r="T6">
        <f>72/(T2*100)</f>
        <v/>
      </c>
      <c r="X6">
        <f>PI()*B6*$Y$1/180</f>
        <v/>
      </c>
      <c r="Z6">
        <f>B6*RADIANS($Y$1)</f>
        <v/>
      </c>
      <c r="AA6">
        <f>MAX(D2:D8)</f>
        <v/>
      </c>
    </row>
    <row r="7">
      <c r="A7" s="3" t="n">
        <v>6</v>
      </c>
      <c r="B7" s="4" t="n">
        <v>10.4</v>
      </c>
      <c r="C7" s="4" t="n">
        <v>28</v>
      </c>
      <c r="D7" s="4" t="n">
        <v>1.9</v>
      </c>
      <c r="E7" s="4" t="n">
        <v>130</v>
      </c>
      <c r="F7" s="4">
        <f>2*B7</f>
        <v/>
      </c>
      <c r="G7" s="4">
        <f>PI()*B7^2*C7</f>
        <v/>
      </c>
      <c r="H7" s="4">
        <f>SQRT(G7)</f>
        <v/>
      </c>
      <c r="I7" s="4">
        <f>ABS(D7-$K$1)</f>
        <v/>
      </c>
      <c r="J7" t="n">
        <v>6</v>
      </c>
      <c r="T7">
        <f>LN(2)/LN(1+T2)</f>
        <v/>
      </c>
      <c r="X7">
        <f>PI()*B7*$Y$1/180</f>
        <v/>
      </c>
      <c r="Z7">
        <f>B7*RADIANS($Y$1)</f>
        <v/>
      </c>
      <c r="AA7">
        <f>MIN(D2:D8)</f>
        <v/>
      </c>
    </row>
    <row r="8">
      <c r="A8" s="3" t="n">
        <v>7</v>
      </c>
      <c r="B8" s="4" t="n">
        <v>18.9</v>
      </c>
      <c r="C8" s="4" t="n">
        <v>48</v>
      </c>
      <c r="D8" s="4" t="n">
        <v>5.2</v>
      </c>
      <c r="E8" s="4" t="n">
        <v>275</v>
      </c>
      <c r="F8" s="4">
        <f>2*B8</f>
        <v/>
      </c>
      <c r="G8" s="4">
        <f>PI()*B8^2*C8</f>
        <v/>
      </c>
      <c r="H8" s="4">
        <f>SQRT(G8)</f>
        <v/>
      </c>
      <c r="I8" s="4">
        <f>ABS(D8-$K$1)</f>
        <v/>
      </c>
      <c r="J8" t="n">
        <v>7</v>
      </c>
      <c r="X8">
        <f>PI()*B8*$Y$1/180</f>
        <v/>
      </c>
      <c r="Z8">
        <f>B8*RADIANS($Y$1)</f>
        <v/>
      </c>
    </row>
    <row r="10">
      <c r="Z10">
        <f>DEGREES(PI()/3)</f>
        <v/>
      </c>
    </row>
    <row r="13">
      <c r="A13" s="7" t="inlineStr">
        <is>
          <t>Расчет кредита</t>
        </is>
      </c>
    </row>
    <row r="14">
      <c r="A14" t="n">
        <v>500000</v>
      </c>
    </row>
    <row r="15">
      <c r="A15" s="5" t="n">
        <v>0.18</v>
      </c>
    </row>
    <row r="16">
      <c r="A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2026-09-29T08:26:26Z</dcterms:created>
  <dcterms:modified xmlns:dcterms="http://purl.org/dc/terms/" xmlns:xsi="http://www.w3.org/2001/XMLSchema-instance" xsi:type="dcterms:W3CDTF">2026-09-29T08:26:26Z</dcterms:modified>
</cp:coreProperties>
</file>